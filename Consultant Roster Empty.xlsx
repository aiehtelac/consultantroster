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theia/Desktop/Paediatrics/Admin/Consultant Roster/"/>
    </mc:Choice>
  </mc:AlternateContent>
  <xr:revisionPtr revIDLastSave="0" documentId="13_ncr:1_{4A540688-BD3E-BF4B-A92D-7A09E1D6AE38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C Calls" sheetId="1" r:id="rId1"/>
  </sheets>
  <definedNames>
    <definedName name="_xlnm.Print_Area" localSheetId="0">'C Calls'!$A$1:$L$4</definedName>
    <definedName name="_xlnm.Print_Titles" localSheetId="0">'C Calls'!$1:$3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K12" i="1"/>
  <c r="K13" i="1" s="1"/>
  <c r="K14" i="1" s="1"/>
  <c r="J12" i="1"/>
  <c r="L12" i="1" s="1"/>
  <c r="L13" i="1" s="1"/>
  <c r="H12" i="1"/>
  <c r="H13" i="1" s="1"/>
  <c r="H14" i="1" s="1"/>
  <c r="I14" i="1" s="1"/>
  <c r="G12" i="1"/>
  <c r="G13" i="1" s="1"/>
  <c r="G16" i="1" s="1"/>
  <c r="F12" i="1"/>
  <c r="F13" i="1" s="1"/>
  <c r="F16" i="1" s="1"/>
  <c r="E12" i="1"/>
  <c r="E13" i="1" s="1"/>
  <c r="E16" i="1" s="1"/>
  <c r="D12" i="1"/>
  <c r="D13" i="1" s="1"/>
  <c r="D16" i="1" s="1"/>
  <c r="C12" i="1"/>
  <c r="C13" i="1" s="1"/>
  <c r="C16" i="1" s="1"/>
  <c r="B12" i="1"/>
  <c r="J13" i="1" l="1"/>
  <c r="J16" i="1" s="1"/>
  <c r="I13" i="1"/>
  <c r="M12" i="1"/>
  <c r="M13" i="1" s="1"/>
  <c r="K16" i="1"/>
  <c r="L14" i="1"/>
  <c r="L16" i="1" s="1"/>
  <c r="I16" i="1"/>
  <c r="H16" i="1"/>
  <c r="B13" i="1"/>
  <c r="B16" i="1" s="1"/>
  <c r="M14" i="1" l="1"/>
  <c r="M16" i="1" s="1"/>
</calcChain>
</file>

<file path=xl/sharedStrings.xml><?xml version="1.0" encoding="utf-8"?>
<sst xmlns="http://schemas.openxmlformats.org/spreadsheetml/2006/main" count="46" uniqueCount="43">
  <si>
    <t>Date (Weekdays / PH)</t>
  </si>
  <si>
    <t>Dr On Call</t>
  </si>
  <si>
    <t>Date (Sat/Sun/PH)</t>
  </si>
  <si>
    <t>Dr On Call
Weekend / PH
Col 1</t>
  </si>
  <si>
    <t>Weekend Rounders</t>
  </si>
  <si>
    <t>Control number (Ignore)</t>
  </si>
  <si>
    <t xml:space="preserve"> Passive 1 / PH ROUND 
Col 2</t>
  </si>
  <si>
    <t xml:space="preserve"> Passive 2 / PH ROUND
Col 3</t>
  </si>
  <si>
    <t>Passive 3 / PH ROUND
Col 4</t>
  </si>
  <si>
    <t xml:space="preserve"> Passive 4 / PH ROUND 
Col 5</t>
  </si>
  <si>
    <t xml:space="preserve"> Passive 5 / PH ROUND 
Col 6</t>
  </si>
  <si>
    <t xml:space="preserve"> Passive 6 / PH ROUND  (STANDBY)
Col 7</t>
  </si>
  <si>
    <t>From</t>
  </si>
  <si>
    <t>To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</si>
  <si>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</si>
  <si>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</si>
  <si>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</si>
  <si>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</si>
  <si>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</si>
  <si>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</si>
  <si>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</si>
  <si>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</si>
  <si>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</si>
  <si>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</si>
  <si>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Calls Tally</t>
  </si>
  <si>
    <t>Week End (call)</t>
  </si>
  <si>
    <t>Week End (rounds) - Passive 1</t>
  </si>
  <si>
    <t>Week End (rounds) - Passive 2</t>
  </si>
  <si>
    <t>Week End (rounds) - Passive 3</t>
  </si>
  <si>
    <t>Week End (rounds) - Passive 4</t>
  </si>
  <si>
    <t xml:space="preserve">Week End (rounds) - Passive 5 </t>
  </si>
  <si>
    <t>Week End (rounds) - Passive 6</t>
  </si>
  <si>
    <t>PH - CALL</t>
  </si>
  <si>
    <t>PH - ROUND</t>
  </si>
  <si>
    <t>Target</t>
  </si>
  <si>
    <t>Short Name</t>
  </si>
  <si>
    <t>Comments</t>
  </si>
  <si>
    <t>control number (must be =)</t>
  </si>
  <si>
    <t>Deficit</t>
  </si>
  <si>
    <t>Col 11</t>
  </si>
  <si>
    <t>TOTAL NORMAL CALLS &amp; ROUNDS (Col 1-7)</t>
  </si>
  <si>
    <t>TOTAL PH (Col 9-10)</t>
  </si>
  <si>
    <t>TOTAL CALLS (WEEKDAY &amp; WEEKEND) 
(Col 8+11)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</si>
</sst>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4" x14ac:knownFonts="1">
    <font>
      <sz val="10"/>
      <name val="Arial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4" borderId="4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zoomScale="80" zoomScaleNormal="80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L35" sqref="L35"/>
    </sheetView>
  </sheetViews>
  <sheetFormatPr baseColWidth="10" defaultColWidth="9.1640625" defaultRowHeight="14.25" customHeight="1" x14ac:dyDescent="0.15"/>
  <cols>
    <col min="1" max="1" width="29.33203125" style="8" customWidth="1"/>
    <col min="2" max="2" width="20" style="10" customWidth="1"/>
    <col min="3" max="3" width="21.5" style="10" customWidth="1"/>
    <col min="4" max="4" width="25" style="10" bestFit="1" customWidth="1"/>
    <col min="5" max="5" width="20" style="10" customWidth="1"/>
    <col min="6" max="7" width="21.5" style="10" customWidth="1"/>
    <col min="8" max="8" width="21.5" style="7" customWidth="1"/>
    <col min="9" max="12" width="21.5" style="8" customWidth="1"/>
    <col min="13" max="13" width="19.33203125" style="8" customWidth="1"/>
    <col min="14" max="14" width="35.5" style="7" customWidth="1"/>
    <col min="15" max="15" width="14.6640625" style="8" customWidth="1"/>
    <col min="16" max="16" width="27.33203125" style="8" customWidth="1"/>
    <col min="17" max="17" width="31.5" style="8" customWidth="1"/>
    <col min="18" max="18" width="9.1640625" style="8" customWidth="1"/>
    <col min="19" max="16384" width="9.1640625" style="8"/>
  </cols>
  <sheetData>
    <row r="1" spans="1:16" s="3" customFormat="1" ht="15" customHeight="1" x14ac:dyDescent="0.15">
      <c r="A1" s="33" t="s">
        <v>0</v>
      </c>
      <c r="B1" s="34"/>
      <c r="C1" s="33" t="s">
        <v>1</v>
      </c>
      <c r="D1" s="33" t="s">
        <v>2</v>
      </c>
      <c r="E1" s="34"/>
      <c r="F1" s="30" t="s">
        <v>3</v>
      </c>
      <c r="G1" s="30" t="s">
        <v>4</v>
      </c>
      <c r="H1" s="31"/>
      <c r="I1" s="31"/>
      <c r="J1" s="31"/>
      <c r="K1" s="31"/>
      <c r="L1" s="32"/>
      <c r="M1" s="1" t="s">
        <v>5</v>
      </c>
      <c r="N1" s="2"/>
    </row>
    <row r="2" spans="1:16" s="3" customFormat="1" ht="45" customHeight="1" x14ac:dyDescent="0.15">
      <c r="A2" s="35"/>
      <c r="B2" s="36"/>
      <c r="C2" s="37"/>
      <c r="D2" s="35"/>
      <c r="E2" s="36"/>
      <c r="F2" s="37"/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1"/>
      <c r="N2" s="2"/>
    </row>
    <row r="3" spans="1:16" s="3" customFormat="1" ht="19.5" customHeight="1" x14ac:dyDescent="0.15">
      <c r="A3" s="5" t="s">
        <v>12</v>
      </c>
      <c r="B3" s="5" t="s">
        <v>13</v>
      </c>
      <c r="C3" s="5"/>
      <c r="D3" s="5" t="s">
        <v>12</v>
      </c>
      <c r="E3" s="5" t="s">
        <v>13</v>
      </c>
      <c r="F3" s="5"/>
      <c r="G3" s="5"/>
      <c r="H3" s="5"/>
      <c r="I3" s="5"/>
      <c r="J3" s="5"/>
      <c r="K3" s="5"/>
      <c r="L3" s="4"/>
      <c r="M3" s="1"/>
      <c r="N3" s="2"/>
    </row>
    <row r="4" spans="1:16" ht="18" customHeight="1" x14ac:dyDescent="0.1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17"/>
      <c r="M4" s="6"/>
      <c r="O4" s="3"/>
    </row>
    <row r="5" spans="1:16" ht="18" customHeight="1" x14ac:dyDescent="0.1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10"/>
      <c r="M5" s="29"/>
      <c r="O5" s="3"/>
    </row>
    <row r="6" spans="1:16" ht="18" customHeight="1" x14ac:dyDescent="0.1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0"/>
      <c r="M6" s="29"/>
      <c r="O6" s="3"/>
    </row>
    <row r="7" spans="1:16" ht="18" customHeight="1" x14ac:dyDescent="0.15">
      <c r="B7" s="11"/>
      <c r="H7" s="10"/>
      <c r="I7" s="10"/>
    </row>
    <row r="8" spans="1:16" ht="14.25" customHeight="1" x14ac:dyDescent="0.15">
      <c r="A8" s="10"/>
      <c r="G8" s="7"/>
      <c r="H8" s="8"/>
    </row>
    <row r="9" spans="1:16" ht="14.25" customHeight="1" x14ac:dyDescent="0.15">
      <c r="A9" s="10"/>
      <c r="H9" s="10"/>
    </row>
    <row r="10" spans="1:16" ht="12" customHeight="1" x14ac:dyDescent="0.15">
      <c r="B10" s="10" t="s">
        <v>14</v>
      </c>
      <c r="C10" s="10" t="s">
        <v>15</v>
      </c>
      <c r="D10" s="10" t="s">
        <v>16</v>
      </c>
      <c r="E10" s="10" t="s">
        <v>17</v>
      </c>
      <c r="F10" s="10" t="s">
        <v>18</v>
      </c>
      <c r="G10" s="10" t="s">
        <v>19</v>
      </c>
      <c r="H10" s="10" t="s">
        <v>20</v>
      </c>
      <c r="I10" s="10" t="s">
        <v>21</v>
      </c>
      <c r="J10" s="10" t="s">
        <v>22</v>
      </c>
      <c r="K10" s="10" t="s">
        <v>23</v>
      </c>
      <c r="L10" s="10" t="s">
        <v>39</v>
      </c>
    </row>
    <row r="11" spans="1:16" s="3" customFormat="1" ht="45" customHeight="1" x14ac:dyDescent="0.15">
      <c r="A11" s="12" t="s">
        <v>24</v>
      </c>
      <c r="B11" s="13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30</v>
      </c>
      <c r="H11" s="4" t="s">
        <v>31</v>
      </c>
      <c r="I11" s="4" t="s">
        <v>40</v>
      </c>
      <c r="J11" s="4" t="s">
        <v>32</v>
      </c>
      <c r="K11" s="4" t="s">
        <v>33</v>
      </c>
      <c r="L11" s="4" t="s">
        <v>41</v>
      </c>
      <c r="M11" s="4" t="s">
        <v>42</v>
      </c>
      <c r="N11" s="14" t="s">
        <v>34</v>
      </c>
      <c r="O11" s="15" t="s">
        <v>35</v>
      </c>
      <c r="P11" s="16" t="s">
        <v>36</v>
      </c>
    </row>
    <row r="12" spans="1:16" ht="12" customHeight="1" x14ac:dyDescent="0.15">
      <c r="A12" s="15"/>
      <c r="B12" s="17">
        <f>COUNTIF($F$7:$F$9,$O12)</f>
        <v>0</v>
      </c>
      <c r="C12" s="17">
        <f>COUNTIF($G$7:$G$9,$O12)</f>
        <v>0</v>
      </c>
      <c r="D12" s="17">
        <f>COUNTIF($H$7:$H$9,$O12)</f>
        <v>0</v>
      </c>
      <c r="E12" s="17">
        <f>COUNTIF($I$7:$I$9,$O12)</f>
        <v>0</v>
      </c>
      <c r="F12" s="17">
        <f>COUNTIF($J$7:$J$9,$O12)</f>
        <v>0</v>
      </c>
      <c r="G12" s="17">
        <f>COUNTIF($K$7:$K$9,$O12)</f>
        <v>0</v>
      </c>
      <c r="H12" s="17">
        <f>COUNTIF($L$7:$L$9,$O12)</f>
        <v>0</v>
      </c>
      <c r="I12" s="17">
        <f>SUM(B12:H12)</f>
        <v>0</v>
      </c>
      <c r="J12" s="17">
        <f>COUNTIF($F$7:$F$9,$O12&amp;"-PH")</f>
        <v>0</v>
      </c>
      <c r="K12" s="17">
        <f>COUNTIF($G$7:$L$9,$O12&amp;"-PH")</f>
        <v>0</v>
      </c>
      <c r="L12" s="17">
        <f>SUM(J12:K12)</f>
        <v>0</v>
      </c>
      <c r="M12" s="17">
        <f>SUM(I12+L12)</f>
        <v>0</v>
      </c>
      <c r="N12" s="18"/>
      <c r="O12" s="10"/>
      <c r="P12" s="10"/>
    </row>
    <row r="13" spans="1:16" s="10" customFormat="1" ht="14" customHeight="1" x14ac:dyDescent="0.15">
      <c r="B13" s="20">
        <f t="shared" ref="B13:M13" si="0">SUM(B12:B12)</f>
        <v>0</v>
      </c>
      <c r="C13" s="20">
        <f t="shared" si="0"/>
        <v>0</v>
      </c>
      <c r="D13" s="20">
        <f t="shared" si="0"/>
        <v>0</v>
      </c>
      <c r="E13" s="20">
        <f t="shared" si="0"/>
        <v>0</v>
      </c>
      <c r="F13" s="20">
        <f t="shared" si="0"/>
        <v>0</v>
      </c>
      <c r="G13" s="20">
        <f t="shared" si="0"/>
        <v>0</v>
      </c>
      <c r="H13" s="20">
        <f t="shared" si="0"/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 t="shared" si="0"/>
        <v>0</v>
      </c>
      <c r="N13" s="9"/>
    </row>
    <row r="14" spans="1:16" ht="14" customHeight="1" x14ac:dyDescent="0.15">
      <c r="A14" s="21" t="s">
        <v>37</v>
      </c>
      <c r="B14" s="22">
        <v>53</v>
      </c>
      <c r="C14" s="22">
        <v>53</v>
      </c>
      <c r="D14" s="22">
        <v>53</v>
      </c>
      <c r="E14" s="22">
        <v>53</v>
      </c>
      <c r="F14" s="22">
        <v>53</v>
      </c>
      <c r="G14" s="22">
        <v>53</v>
      </c>
      <c r="H14" s="22">
        <f>H13</f>
        <v>0</v>
      </c>
      <c r="I14" s="22">
        <f>SUM(B14:H14)</f>
        <v>318</v>
      </c>
      <c r="J14" s="22">
        <v>10</v>
      </c>
      <c r="K14" s="22">
        <f>K13</f>
        <v>0</v>
      </c>
      <c r="L14" s="22">
        <f>J14+K14</f>
        <v>10</v>
      </c>
      <c r="M14" s="23">
        <f>I14+L14</f>
        <v>328</v>
      </c>
      <c r="N14" s="24"/>
      <c r="O14" s="7" t="s">
        <v>37</v>
      </c>
    </row>
    <row r="15" spans="1:16" ht="14" customHeight="1" x14ac:dyDescent="0.15">
      <c r="A15" s="10"/>
      <c r="H15" s="10"/>
      <c r="I15" s="10"/>
      <c r="J15" s="10"/>
      <c r="K15" s="25"/>
      <c r="L15" s="25"/>
    </row>
    <row r="16" spans="1:16" ht="14.25" customHeight="1" x14ac:dyDescent="0.15">
      <c r="A16" s="10"/>
      <c r="B16" s="10">
        <f t="shared" ref="B16:M16" si="1">B14-B13</f>
        <v>53</v>
      </c>
      <c r="C16" s="10">
        <f t="shared" si="1"/>
        <v>53</v>
      </c>
      <c r="D16" s="10">
        <f t="shared" si="1"/>
        <v>53</v>
      </c>
      <c r="E16" s="10">
        <f t="shared" si="1"/>
        <v>53</v>
      </c>
      <c r="F16" s="10">
        <f t="shared" si="1"/>
        <v>53</v>
      </c>
      <c r="G16" s="10">
        <f t="shared" si="1"/>
        <v>53</v>
      </c>
      <c r="H16" s="10">
        <f t="shared" si="1"/>
        <v>0</v>
      </c>
      <c r="I16" s="10">
        <f t="shared" si="1"/>
        <v>318</v>
      </c>
      <c r="J16" s="10">
        <f t="shared" si="1"/>
        <v>10</v>
      </c>
      <c r="K16" s="10">
        <f t="shared" si="1"/>
        <v>0</v>
      </c>
      <c r="L16" s="10">
        <f t="shared" si="1"/>
        <v>10</v>
      </c>
      <c r="M16" s="10">
        <f t="shared" si="1"/>
        <v>328</v>
      </c>
      <c r="O16" s="8" t="s">
        <v>38</v>
      </c>
    </row>
    <row r="17" spans="1:14" ht="14.25" customHeight="1" x14ac:dyDescent="0.15">
      <c r="A17" s="10"/>
      <c r="C17" s="25"/>
      <c r="F17" s="7"/>
      <c r="G17" s="8"/>
      <c r="H17" s="8"/>
      <c r="M17" s="19"/>
      <c r="N17" s="26"/>
    </row>
    <row r="18" spans="1:14" ht="14.25" customHeight="1" x14ac:dyDescent="0.15">
      <c r="A18" s="10"/>
      <c r="F18" s="7"/>
      <c r="G18" s="8"/>
      <c r="H18" s="8"/>
    </row>
    <row r="19" spans="1:14" ht="14.25" customHeight="1" x14ac:dyDescent="0.15">
      <c r="H19" s="10"/>
    </row>
  </sheetData>
  <mergeCells count="5">
    <mergeCell ref="G1:L1"/>
    <mergeCell ref="D1:E2"/>
    <mergeCell ref="C1:C2"/>
    <mergeCell ref="F1:F2"/>
    <mergeCell ref="A1:B2"/>
  </mergeCells>
  <printOptions horizontalCentered="1"/>
  <pageMargins left="0" right="0" top="0.82677165354330717" bottom="0.74803149606299213" header="0.27559055118110237" footer="0.51181102362204722"/>
  <pageSetup paperSize="8" scale="38" pageOrder="overThenDown" orientation="portrait"/>
  <headerFooter alignWithMargins="0">
    <oddHeader>&amp;C&amp;"Arial,Bold"&amp;12 DEPARTMENT OF PAEDIATRICS
CONSULTANT CALL ROSTER FOR JANUARY 2026 TO DECEMBER 2026
UPDATED AS AT &amp;D</oddHeader>
    <oddFooter>&amp;C&amp;8 &amp;A&amp;R&amp;8 Page &amp;P</oddFooter>
  </headerFooter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 Calls</vt:lpstr>
      <vt:lpstr>'C Calls'!Print_Area</vt:lpstr>
      <vt:lpstr>'C Calls'!Print_Titles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Jia Ying (SingHealth - KKH)</dc:creator>
  <cp:lastModifiedBy>Aletheia Chia</cp:lastModifiedBy>
  <dcterms:created xsi:type="dcterms:W3CDTF">2026-08-20T10:31:45Z</dcterms:created>
  <dcterms:modified xsi:type="dcterms:W3CDTF">2026-10-21T14:28:36Z</dcterms:modified>
</cp:coreProperties>
</file>